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veen\Documents\"/>
    </mc:Choice>
  </mc:AlternateContent>
  <xr:revisionPtr revIDLastSave="0" documentId="8_{FC450931-ADAB-428C-85D5-961544F733E7}" xr6:coauthVersionLast="47" xr6:coauthVersionMax="47" xr10:uidLastSave="{00000000-0000-0000-0000-000000000000}"/>
  <bookViews>
    <workbookView xWindow="-120" yWindow="-120" windowWidth="29040" windowHeight="15720" xr2:uid="{99B4ACE3-FCF7-431E-80E7-218252CDCC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5" i="1" l="1"/>
  <c r="B15" i="1"/>
  <c r="G14" i="1"/>
  <c r="D8" i="1"/>
  <c r="E8" i="1" s="1"/>
  <c r="D7" i="1"/>
  <c r="E7" i="1" s="1"/>
  <c r="J6" i="1"/>
  <c r="E6" i="1"/>
  <c r="D6" i="1"/>
  <c r="D4" i="1"/>
  <c r="E4" i="1" s="1"/>
  <c r="D3" i="1"/>
  <c r="G2" i="1"/>
  <c r="D2" i="1"/>
  <c r="E2" i="1" l="1"/>
  <c r="H2" i="1"/>
  <c r="C5" i="1" s="1"/>
  <c r="D5" i="1" l="1"/>
  <c r="E5" i="1"/>
  <c r="E10" i="1"/>
  <c r="E13" i="1" l="1"/>
  <c r="K13" i="1" s="1"/>
  <c r="K2" i="1"/>
  <c r="E11" i="1"/>
  <c r="E12" i="1"/>
  <c r="E14" i="1" s="1"/>
  <c r="E15" i="1" l="1"/>
  <c r="G15" i="1"/>
</calcChain>
</file>

<file path=xl/sharedStrings.xml><?xml version="1.0" encoding="utf-8"?>
<sst xmlns="http://schemas.openxmlformats.org/spreadsheetml/2006/main" count="22" uniqueCount="21">
  <si>
    <t>Description</t>
  </si>
  <si>
    <t>No Of Units</t>
  </si>
  <si>
    <t>Price Per Unit</t>
  </si>
  <si>
    <t>Vat</t>
  </si>
  <si>
    <t>Total</t>
  </si>
  <si>
    <t>Down Payment</t>
  </si>
  <si>
    <t>Loan Amount</t>
  </si>
  <si>
    <t>MMC</t>
  </si>
  <si>
    <t>FO PPF Gold Package</t>
  </si>
  <si>
    <t>FO Ceramic+ Intr&amp;Extr CeramicGold</t>
  </si>
  <si>
    <t>Deffered Admin Charges</t>
  </si>
  <si>
    <t>Mortgage Releasing Charges-Dubai</t>
  </si>
  <si>
    <t>Mortgage Charges-Dubai</t>
  </si>
  <si>
    <t>Documentation Charges</t>
  </si>
  <si>
    <t>Grand Total</t>
  </si>
  <si>
    <t xml:space="preserve">Total Price </t>
  </si>
  <si>
    <t>Down Payment %</t>
  </si>
  <si>
    <t>Tenor</t>
  </si>
  <si>
    <t>Down Payment[On The Net Vehicle Price,Vat,Vat On Interest,Mortgage Fees,Mortgage Release, Documentation Charges]</t>
  </si>
  <si>
    <t>Balance Due</t>
  </si>
  <si>
    <t>PDC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</si>
</sst>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6"/>
      <color theme="1"/>
      <name val="Aptos Display"/>
      <family val="2"/>
      <scheme val="major"/>
    </font>
    <font>
      <b/>
      <sz val="16"/>
      <color theme="0"/>
      <name val="Aptos Display"/>
      <family val="2"/>
      <scheme val="major"/>
    </font>
    <font>
      <b/>
      <sz val="16"/>
      <color rgb="FFFFFF00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3" fillId="0" borderId="1" xfId="0" applyFont="1" applyBorder="1" applyAlignment="1">
      <alignment horizontal="center"/>
    </xf>
    <xf numFmtId="43" fontId="3" fillId="0" borderId="1" xfId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2" fillId="0" borderId="0" xfId="0" applyFont="1"/>
    <xf numFmtId="0" fontId="3" fillId="0" borderId="1" xfId="0" applyFont="1" applyBorder="1"/>
    <xf numFmtId="43" fontId="3" fillId="0" borderId="1" xfId="1" applyFont="1" applyFill="1" applyBorder="1"/>
    <xf numFmtId="43" fontId="2" fillId="0" borderId="0" xfId="0" applyNumberFormat="1" applyFont="1"/>
    <xf numFmtId="0" fontId="0" fillId="0" borderId="1" xfId="0" applyBorder="1"/>
    <xf numFmtId="0" fontId="0" fillId="0" borderId="1" xfId="0" applyBorder="1" applyAlignment="1">
      <alignment horizontal="center"/>
    </xf>
    <xf numFmtId="43" fontId="0" fillId="0" borderId="1" xfId="1" applyFont="1" applyBorder="1"/>
    <xf numFmtId="2" fontId="0" fillId="0" borderId="1" xfId="0" applyNumberFormat="1" applyBorder="1"/>
    <xf numFmtId="0" fontId="4" fillId="0" borderId="1" xfId="0" applyFont="1" applyBorder="1" applyAlignment="1">
      <alignment horizontal="center"/>
    </xf>
    <xf numFmtId="9" fontId="5" fillId="2" borderId="1" xfId="1" applyNumberFormat="1" applyFont="1" applyFill="1" applyBorder="1" applyAlignment="1">
      <alignment horizontal="center"/>
    </xf>
    <xf numFmtId="10" fontId="3" fillId="0" borderId="1" xfId="2" applyNumberFormat="1" applyFont="1" applyBorder="1" applyAlignment="1">
      <alignment horizontal="center"/>
    </xf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633B0-6073-43C2-8795-C02C2F4AE692}">
  <dimension ref="A1:K15"/>
  <sheetViews>
    <sheetView tabSelected="1" workbookViewId="0">
      <selection activeCell="D13" sqref="D13"/>
    </sheetView>
  </sheetViews>
  <sheetFormatPr defaultRowHeight="15" x14ac:dyDescent="0.25"/>
  <cols>
    <col min="1" max="1" width="160" bestFit="1" customWidth="1"/>
    <col min="2" max="2" width="16.140625" bestFit="1" customWidth="1"/>
    <col min="3" max="3" width="24.28515625" bestFit="1" customWidth="1"/>
    <col min="4" max="4" width="14.5703125" bestFit="1" customWidth="1"/>
    <col min="5" max="5" width="16.140625" bestFit="1" customWidth="1"/>
    <col min="7" max="7" width="14.140625" bestFit="1" customWidth="1"/>
    <col min="8" max="8" width="12.5703125" bestFit="1" customWidth="1"/>
    <col min="10" max="10" width="5" bestFit="1" customWidth="1"/>
    <col min="11" max="11" width="10.5703125" bestFit="1" customWidth="1"/>
  </cols>
  <sheetData>
    <row r="1" spans="1:11" ht="21" x14ac:dyDescent="0.35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4"/>
      <c r="G1" s="4" t="s">
        <v>5</v>
      </c>
      <c r="H1" s="4" t="s">
        <v>6</v>
      </c>
      <c r="I1" s="4"/>
      <c r="J1" s="4"/>
      <c r="K1" s="4"/>
    </row>
    <row r="2" spans="1:11" ht="21" x14ac:dyDescent="0.35">
      <c r="A2" s="5" t="s">
        <v>7</v>
      </c>
      <c r="B2" s="1">
        <v>1</v>
      </c>
      <c r="C2" s="6">
        <v>69900</v>
      </c>
      <c r="D2" s="6">
        <f>C2*5/100</f>
        <v>3495</v>
      </c>
      <c r="E2" s="6">
        <f>C2+D2</f>
        <v>73395</v>
      </c>
      <c r="F2" s="4"/>
      <c r="G2" s="7">
        <f>(C2+C3+C4)*C13*B2</f>
        <v>17475</v>
      </c>
      <c r="H2" s="7">
        <f>(C2+C3+C4)-G2</f>
        <v>52425</v>
      </c>
      <c r="I2" s="4"/>
      <c r="J2" s="4"/>
      <c r="K2" s="7">
        <f>G2+D2+D5+E6+E7+E8</f>
        <v>21455.53125</v>
      </c>
    </row>
    <row r="3" spans="1:11" ht="21" x14ac:dyDescent="0.35">
      <c r="A3" s="5" t="s">
        <v>8</v>
      </c>
      <c r="B3" s="1"/>
      <c r="C3" s="6">
        <v>0</v>
      </c>
      <c r="D3" s="6">
        <f t="shared" ref="D3:D8" si="0">C3*5/100</f>
        <v>0</v>
      </c>
      <c r="E3" s="6">
        <v>0</v>
      </c>
      <c r="F3" s="4"/>
      <c r="G3" s="4"/>
      <c r="H3" s="4"/>
      <c r="I3" s="4"/>
      <c r="J3" s="4"/>
      <c r="K3" s="4"/>
    </row>
    <row r="4" spans="1:11" ht="21" x14ac:dyDescent="0.35">
      <c r="A4" s="5" t="s">
        <v>9</v>
      </c>
      <c r="B4" s="1"/>
      <c r="C4" s="6">
        <v>0</v>
      </c>
      <c r="D4" s="6">
        <f t="shared" si="0"/>
        <v>0</v>
      </c>
      <c r="E4" s="6">
        <f>C4+D4</f>
        <v>0</v>
      </c>
      <c r="F4" s="4"/>
      <c r="G4" s="4"/>
      <c r="H4" s="4"/>
      <c r="I4" s="4"/>
      <c r="J4" s="4"/>
      <c r="K4" s="4"/>
    </row>
    <row r="5" spans="1:11" ht="21" x14ac:dyDescent="0.35">
      <c r="A5" s="5" t="s">
        <v>10</v>
      </c>
      <c r="B5" s="1">
        <v>1</v>
      </c>
      <c r="C5" s="6">
        <f>H2*C14/12*D13</f>
        <v>1310.625</v>
      </c>
      <c r="D5" s="6">
        <f t="shared" si="0"/>
        <v>65.53125</v>
      </c>
      <c r="E5" s="6">
        <f>C5+D5</f>
        <v>1376.15625</v>
      </c>
      <c r="F5" s="4"/>
      <c r="G5" s="4"/>
      <c r="H5" s="4"/>
      <c r="I5" s="4"/>
      <c r="J5" s="4"/>
      <c r="K5" s="4"/>
    </row>
    <row r="6" spans="1:11" ht="21" x14ac:dyDescent="0.35">
      <c r="A6" s="5" t="s">
        <v>11</v>
      </c>
      <c r="B6" s="1">
        <v>1</v>
      </c>
      <c r="C6" s="6">
        <v>100</v>
      </c>
      <c r="D6" s="6">
        <f t="shared" si="0"/>
        <v>5</v>
      </c>
      <c r="E6" s="6">
        <f>(C6*B6)+(D6*B6)</f>
        <v>105</v>
      </c>
      <c r="F6" s="4"/>
      <c r="G6" s="4"/>
      <c r="H6" s="4"/>
      <c r="I6" s="4"/>
      <c r="J6" s="4">
        <f>200*10</f>
        <v>2000</v>
      </c>
      <c r="K6" s="4"/>
    </row>
    <row r="7" spans="1:11" ht="21" x14ac:dyDescent="0.35">
      <c r="A7" s="5" t="s">
        <v>12</v>
      </c>
      <c r="B7" s="1">
        <v>1</v>
      </c>
      <c r="C7" s="6">
        <v>100</v>
      </c>
      <c r="D7" s="6">
        <f t="shared" si="0"/>
        <v>5</v>
      </c>
      <c r="E7" s="6">
        <f t="shared" ref="E7:E8" si="1">(C7*B7)+(D7*B7)</f>
        <v>105</v>
      </c>
      <c r="F7" s="4"/>
      <c r="G7" s="4"/>
      <c r="H7" s="4"/>
      <c r="I7" s="4"/>
      <c r="J7" s="4"/>
      <c r="K7" s="4"/>
    </row>
    <row r="8" spans="1:11" ht="21" x14ac:dyDescent="0.35">
      <c r="A8" s="5" t="s">
        <v>13</v>
      </c>
      <c r="B8" s="1">
        <v>1</v>
      </c>
      <c r="C8" s="6">
        <v>200</v>
      </c>
      <c r="D8" s="6">
        <f t="shared" si="0"/>
        <v>10</v>
      </c>
      <c r="E8" s="6">
        <f t="shared" si="1"/>
        <v>210</v>
      </c>
      <c r="F8" s="4"/>
      <c r="G8" s="4"/>
      <c r="H8" s="4"/>
      <c r="I8" s="4"/>
      <c r="J8" s="4"/>
      <c r="K8" s="4"/>
    </row>
    <row r="9" spans="1:11" x14ac:dyDescent="0.25">
      <c r="A9" s="8"/>
      <c r="B9" s="9"/>
      <c r="C9" s="10"/>
      <c r="D9" s="8"/>
      <c r="E9" s="11"/>
      <c r="F9" s="4"/>
      <c r="G9" s="4"/>
      <c r="H9" s="4"/>
      <c r="I9" s="4"/>
      <c r="J9" s="4"/>
      <c r="K9" s="4"/>
    </row>
    <row r="10" spans="1:11" ht="21" x14ac:dyDescent="0.35">
      <c r="A10" s="5" t="s">
        <v>14</v>
      </c>
      <c r="B10" s="1"/>
      <c r="C10" s="10"/>
      <c r="D10" s="8"/>
      <c r="E10" s="6">
        <f>+SUM(C2*B2+C3*B3+C4*B4+C5*B5)+(C6*B6+C7*B7+C8*B8)</f>
        <v>71610.625</v>
      </c>
      <c r="F10" s="4"/>
      <c r="G10" s="4"/>
      <c r="H10" s="4"/>
      <c r="I10" s="4"/>
      <c r="J10" s="4"/>
      <c r="K10" s="4"/>
    </row>
    <row r="11" spans="1:11" ht="21" x14ac:dyDescent="0.35">
      <c r="A11" s="5" t="s">
        <v>3</v>
      </c>
      <c r="B11" s="1"/>
      <c r="C11" s="10"/>
      <c r="D11" s="8"/>
      <c r="E11" s="6">
        <f>+SUM(D2*B2+D3*B3+D4*B4+D5*B5+D6*B6+D7*B7+D8*B8)</f>
        <v>3580.53125</v>
      </c>
      <c r="F11" s="4"/>
      <c r="G11" s="4"/>
      <c r="H11" s="4"/>
      <c r="I11" s="4"/>
      <c r="J11" s="4"/>
      <c r="K11" s="4"/>
    </row>
    <row r="12" spans="1:11" ht="21" x14ac:dyDescent="0.35">
      <c r="A12" s="5" t="s">
        <v>15</v>
      </c>
      <c r="B12" s="1"/>
      <c r="C12" s="12" t="s">
        <v>16</v>
      </c>
      <c r="D12" s="12" t="s">
        <v>17</v>
      </c>
      <c r="E12" s="6">
        <f>E10+E11</f>
        <v>75191.15625</v>
      </c>
      <c r="F12" s="4"/>
      <c r="G12" s="4"/>
      <c r="H12" s="4"/>
      <c r="I12" s="4"/>
      <c r="J12" s="4"/>
      <c r="K12" s="4"/>
    </row>
    <row r="13" spans="1:11" ht="21" x14ac:dyDescent="0.35">
      <c r="A13" s="5" t="s">
        <v>18</v>
      </c>
      <c r="B13" s="1"/>
      <c r="C13" s="13">
        <v>0.25</v>
      </c>
      <c r="D13" s="1">
        <v>6</v>
      </c>
      <c r="E13" s="6">
        <f>(G2)+(D2*B2+D3*B3+D4*B4+D5*B5)+E6+E7+E8</f>
        <v>21455.53125</v>
      </c>
      <c r="F13" s="4"/>
      <c r="G13" s="7"/>
      <c r="H13" s="4"/>
      <c r="I13" s="4"/>
      <c r="J13" s="4"/>
      <c r="K13" s="7">
        <f>E13/2</f>
        <v>10727.765625</v>
      </c>
    </row>
    <row r="14" spans="1:11" ht="21" x14ac:dyDescent="0.35">
      <c r="A14" s="5" t="s">
        <v>19</v>
      </c>
      <c r="B14" s="1"/>
      <c r="C14" s="14">
        <v>0.05</v>
      </c>
      <c r="D14" s="8"/>
      <c r="E14" s="6">
        <f>E12-E13</f>
        <v>53735.625</v>
      </c>
      <c r="F14" s="4"/>
      <c r="G14" s="4">
        <f>16540*35</f>
        <v>578900</v>
      </c>
      <c r="H14" s="4"/>
      <c r="I14" s="4"/>
      <c r="J14" s="7"/>
      <c r="K14" s="4"/>
    </row>
    <row r="15" spans="1:11" ht="21" x14ac:dyDescent="0.35">
      <c r="A15" s="5" t="s">
        <v>20</v>
      </c>
      <c r="B15" s="1">
        <f>D13</f>
        <v>6</v>
      </c>
      <c r="C15" s="10"/>
      <c r="D15" s="8"/>
      <c r="E15" s="6">
        <f>E14/D13</f>
        <v>8955.9375</v>
      </c>
      <c r="F15" s="4"/>
      <c r="G15" s="7">
        <f>G14-E14</f>
        <v>525164.375</v>
      </c>
      <c r="H15" s="4"/>
      <c r="I15" s="4"/>
      <c r="J15" s="4"/>
      <c r="K15" s="7">
        <f>13966*5</f>
        <v>69830</v>
      </c>
    </row>
  </sheetData>
  <dataValidations count="3">
    <dataValidation type="list" allowBlank="1" showInputMessage="1" showErrorMessage="1" sqref="C8" xr:uid="{B7774F1A-E932-4CC9-87E9-CEEED84CC856}">
      <formula1>"200,300"</formula1>
    </dataValidation>
    <dataValidation type="list" allowBlank="1" showInputMessage="1" showErrorMessage="1" sqref="C13" xr:uid="{342CACB1-2C78-4369-852B-4B8D5EDA0A02}">
      <formula1>"10%,25%,30%,35%,40%,45%,50%,55%,60%,65%,70%,80%"</formula1>
    </dataValidation>
    <dataValidation type="list" allowBlank="1" showInputMessage="1" showErrorMessage="1" sqref="D13" xr:uid="{08FBEA90-6C3C-4772-97C2-8B0382682B82}">
      <formula1>"4,5,6,7,8,9,10,11,12,13,14,15,16,17,18,19,20,21,22,23,24,25,26,27,28,29,30,31,32,33,34,35,36"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Gopinath</dc:creator>
  <cp:lastModifiedBy>Naveen Gopinath</cp:lastModifiedBy>
  <dcterms:created xsi:type="dcterms:W3CDTF">2026-07-21T07:04:03Z</dcterms:created>
  <dcterms:modified xsi:type="dcterms:W3CDTF">2026-07-21T07:04:45Z</dcterms:modified>
</cp:coreProperties>
</file>